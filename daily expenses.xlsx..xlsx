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6900" firstSheet="5" activeTab="10"/>
  </bookViews>
  <sheets>
    <sheet name="14.12.25" sheetId="4" r:id="rId1"/>
    <sheet name="15.12.25 " sheetId="5" r:id="rId2"/>
    <sheet name="16.12.25 " sheetId="6" r:id="rId3"/>
    <sheet name="17.12.25  " sheetId="7" r:id="rId4"/>
    <sheet name="18.12.25  " sheetId="8" r:id="rId5"/>
    <sheet name="19.12.25  " sheetId="9" r:id="rId6"/>
    <sheet name="20.12.25 " sheetId="10" r:id="rId7"/>
    <sheet name="21.12.25 " sheetId="11" r:id="rId8"/>
    <sheet name="22.12.25" sheetId="12" r:id="rId9"/>
    <sheet name="23.12.25" sheetId="13" r:id="rId10"/>
    <sheet name="24.12.25 " sheetId="14" r:id="rId11"/>
    <sheet name="25.12.25 " sheetId="15" r:id="rId12"/>
    <sheet name="26.12.25" sheetId="16" r:id="rId13"/>
    <sheet name="27.12.25 " sheetId="17" r:id="rId14"/>
    <sheet name="28.12.25 " sheetId="18" r:id="rId15"/>
    <sheet name="29.12.25 " sheetId="19" r:id="rId16"/>
    <sheet name="30.12.25  " sheetId="21" r:id="rId17"/>
    <sheet name="31.12.25 " sheetId="22" r:id="rId18"/>
    <sheet name="1.1.26" sheetId="25" r:id="rId19"/>
    <sheet name="2.1.26 " sheetId="27" r:id="rId20"/>
    <sheet name="3.1.26 " sheetId="28" r:id="rId21"/>
    <sheet name="4.1.26 " sheetId="29" r:id="rId22"/>
    <sheet name="5.1.26 " sheetId="30" r:id="rId23"/>
    <sheet name="6.1.26" sheetId="31" r:id="rId24"/>
    <sheet name="7.1.26 " sheetId="32" r:id="rId25"/>
    <sheet name="8.1.26 " sheetId="33" r:id="rId26"/>
    <sheet name="9.1.26 " sheetId="34" r:id="rId27"/>
    <sheet name="10.1.26 " sheetId="35" r:id="rId28"/>
    <sheet name="11.1.26 " sheetId="36" r:id="rId29"/>
    <sheet name="12.1.26 " sheetId="37" r:id="rId30"/>
    <sheet name="13.1.26" sheetId="38" r:id="rId31"/>
    <sheet name="14.1.26" sheetId="39" r:id="rId32"/>
    <sheet name="15.1.26 " sheetId="40" r:id="rId33"/>
    <sheet name="16.1.26" sheetId="41" r:id="rId34"/>
    <sheet name="DEC totals" sheetId="24" r:id="rId35"/>
    <sheet name="Chart Data" sheetId="2" state="hidden" r:id="rId36"/>
  </sheets>
  <definedNames>
    <definedName name="BudgetTitle">#REF!</definedName>
    <definedName name="_xlnm.Print_Titles" localSheetId="0">'14.12.25'!$3:$3</definedName>
    <definedName name="Title1">#REF!</definedName>
    <definedName name="Title2">#REF!</definedName>
    <definedName name="Title3">Expenses[[#Headers],[Item]]</definedName>
    <definedName name="Total_Monthly_Expenses">#REF!</definedName>
    <definedName name="Total_Monthly_Income">#REF!</definedName>
    <definedName name="Total_Monthly_Savings">#REF!</definedName>
    <definedName name="_xlnm.Print_Titles" localSheetId="1">'15.12.25 '!$3:$3</definedName>
    <definedName name="_xlnm.Print_Titles" localSheetId="2">'16.12.25 '!$3:$3</definedName>
    <definedName name="_xlnm.Print_Titles" localSheetId="3">'17.12.25  '!$3:$3</definedName>
    <definedName name="_xlnm.Print_Titles" localSheetId="4">'18.12.25  '!$3:$3</definedName>
    <definedName name="_xlnm.Print_Titles" localSheetId="5">'19.12.25  '!$3:$3</definedName>
    <definedName name="_xlnm.Print_Titles" localSheetId="6">'20.12.25 '!$3:$3</definedName>
    <definedName name="_xlnm.Print_Titles" localSheetId="7">'21.12.25 '!$3:$3</definedName>
    <definedName name="_xlnm.Print_Titles" localSheetId="8">'22.12.25'!$3:$3</definedName>
    <definedName name="_xlnm.Print_Titles" localSheetId="9">'23.12.25'!$3:$3</definedName>
    <definedName name="_xlnm.Print_Titles" localSheetId="10">'24.12.25 '!$3:$3</definedName>
    <definedName name="_xlnm.Print_Titles" localSheetId="11">'25.12.25 '!$3:$3</definedName>
    <definedName name="_xlnm.Print_Titles" localSheetId="12">'26.12.25'!$3:$3</definedName>
    <definedName name="_xlnm.Print_Titles" localSheetId="13">'27.12.25 '!$3:$3</definedName>
    <definedName name="_xlnm.Print_Titles" localSheetId="14">'28.12.25 '!$3:$3</definedName>
    <definedName name="_xlnm.Print_Titles" localSheetId="15">'29.12.25 '!$3:$3</definedName>
    <definedName name="_xlnm.Print_Titles" localSheetId="16">'30.12.25  '!$3:$3</definedName>
    <definedName name="_xlnm.Print_Titles" localSheetId="17">'31.12.25 '!$3:$3</definedName>
    <definedName name="_xlnm.Print_Titles" localSheetId="34">'DEC totals'!$3:$3</definedName>
    <definedName name="_xlnm.Print_Titles" localSheetId="18">'1.1.26'!$3:$3</definedName>
    <definedName name="_xlnm.Print_Titles" localSheetId="19">'2.1.26 '!$3:$3</definedName>
    <definedName name="_xlnm.Print_Titles" localSheetId="20">'3.1.26 '!$3:$3</definedName>
    <definedName name="_xlnm.Print_Titles" localSheetId="21">'4.1.26 '!$3:$3</definedName>
    <definedName name="_xlnm.Print_Titles" localSheetId="22">'5.1.26 '!$3:$3</definedName>
    <definedName name="_xlnm.Print_Titles" localSheetId="23">'6.1.26'!$3:$3</definedName>
    <definedName name="_xlnm.Print_Titles" localSheetId="24">'7.1.26 '!$3:$3</definedName>
    <definedName name="_xlnm.Print_Titles" localSheetId="25">'8.1.26 '!$3:$3</definedName>
    <definedName name="_xlnm.Print_Titles" localSheetId="26">'9.1.26 '!$3:$3</definedName>
    <definedName name="_xlnm.Print_Titles" localSheetId="27">'10.1.26 '!$3:$3</definedName>
    <definedName name="_xlnm.Print_Titles" localSheetId="28">'11.1.26 '!$3:$3</definedName>
    <definedName name="_xlnm.Print_Titles" localSheetId="29">'12.1.26 '!$3:$3</definedName>
    <definedName name="_xlnm.Print_Titles" localSheetId="30">'13.1.26'!$3:$3</definedName>
    <definedName name="_xlnm.Print_Titles" localSheetId="31">'14.1.26'!$3:$3</definedName>
    <definedName name="_xlnm.Print_Titles" localSheetId="32">'15.1.26 '!$3:$3</definedName>
    <definedName name="_xlnm.Print_Titles" localSheetId="33">'16.1.26'!$3:$3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<sst xmlns="http://schemas.openxmlformats.org/spreadsheetml/2006/main" count="809" uniqueCount="26">
  <si>
    <t>DAILY EXPENDITURE</t>
  </si>
  <si>
    <t>Daily Expenses</t>
  </si>
  <si>
    <t>Item</t>
  </si>
  <si>
    <t>Amount</t>
  </si>
  <si>
    <t>Rent/mortgage</t>
  </si>
  <si>
    <t>Electric</t>
  </si>
  <si>
    <t>Transport</t>
  </si>
  <si>
    <t>Gas</t>
  </si>
  <si>
    <t>airtime</t>
  </si>
  <si>
    <t>shopping</t>
  </si>
  <si>
    <t xml:space="preserve">transaction costs </t>
  </si>
  <si>
    <t>food</t>
  </si>
  <si>
    <t>cloathing</t>
  </si>
  <si>
    <t>debt</t>
  </si>
  <si>
    <t>Miscellaneous</t>
  </si>
  <si>
    <t xml:space="preserve">TOTALS </t>
  </si>
  <si>
    <t>other income</t>
  </si>
  <si>
    <t>charity</t>
  </si>
  <si>
    <t>tithe</t>
  </si>
  <si>
    <t>savings</t>
  </si>
  <si>
    <t>income</t>
  </si>
  <si>
    <t>total income</t>
  </si>
  <si>
    <t>contribution</t>
  </si>
  <si>
    <t>entertainment</t>
  </si>
  <si>
    <t>withdrawal</t>
  </si>
  <si>
    <t>CHART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</si>
</sst>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5" formatCode="&quot;$&quot;#,##0_);\(&quot;$&quot;#,##0\)"/>
    <numFmt numFmtId="7" formatCode="&quot;$&quot;#,##0.00_);\(&quot;$&quot;#,##0.00\)"/>
    <numFmt numFmtId="176" formatCode="_ * #,##0.00_ ;_ * \-#,##0.00_ ;_ * &quot;-&quot;??_ ;_ @_ "/>
    <numFmt numFmtId="177" formatCode="_ * #,##0_ ;_ * \-#,##0_ ;_ * &quot;-&quot;_ ;_ @_ "/>
  </numFmts>
  <fonts count="22">
    <font>
      <b/>
      <sz val="12"/>
      <color theme="3" tint="0.249946592608417"/>
      <name val="Arial"/>
      <charset val="134"/>
      <scheme val="minor"/>
    </font>
    <font>
      <b/>
      <sz val="18"/>
      <color theme="3"/>
      <name val="Arial"/>
      <charset val="134"/>
      <scheme val="major"/>
    </font>
    <font>
      <sz val="12"/>
      <name val="Arial"/>
      <charset val="134"/>
      <scheme val="minor"/>
    </font>
    <font>
      <b/>
      <sz val="29"/>
      <color theme="3"/>
      <name val="Arial"/>
      <charset val="134"/>
      <scheme val="major"/>
    </font>
    <font>
      <sz val="11"/>
      <color theme="1"/>
      <name val="Arial"/>
      <charset val="134"/>
      <scheme val="minor"/>
    </font>
    <font>
      <b/>
      <sz val="14"/>
      <color theme="4" tint="-0.249946592608417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wrapText="1"/>
    </xf>
    <xf numFmtId="176" fontId="4" fillId="0" borderId="0" applyFont="0" applyFill="0" applyBorder="0" applyAlignment="0" applyProtection="0">
      <alignment vertical="center"/>
    </xf>
    <xf numFmtId="7" fontId="0" fillId="0" borderId="0" applyFont="0" applyFill="0" applyBorder="0" applyProtection="0">
      <alignment horizontal="left"/>
    </xf>
    <xf numFmtId="9" fontId="5" fillId="0" borderId="0" applyFill="0" applyBorder="0" applyProtection="0">
      <alignment horizontal="center"/>
    </xf>
    <xf numFmtId="177" fontId="4" fillId="0" borderId="0" applyFont="0" applyFill="0" applyBorder="0" applyAlignment="0" applyProtection="0">
      <alignment vertical="center"/>
    </xf>
    <xf numFmtId="5" fontId="5" fillId="0" borderId="0" applyFill="0" applyBorder="0" applyProtection="0">
      <alignment horizontal="left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Alignment="0" applyProtection="0"/>
    <xf numFmtId="0" fontId="9" fillId="0" borderId="0" applyNumberFormat="0" applyFill="0" applyBorder="0" applyAlignment="0" applyProtection="0">
      <alignment vertical="center"/>
    </xf>
    <xf numFmtId="0" fontId="1" fillId="0" borderId="0" applyNumberFormat="0" applyFill="0" applyProtection="0">
      <alignment horizontal="left"/>
    </xf>
    <xf numFmtId="0" fontId="5" fillId="0" borderId="0" applyNumberFormat="0" applyFill="0" applyAlignment="0" applyProtection="0"/>
    <xf numFmtId="0" fontId="0" fillId="0" borderId="0" applyNumberFormat="0" applyFill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3" borderId="2" applyNumberFormat="0" applyAlignment="0" applyProtection="0">
      <alignment vertical="center"/>
    </xf>
    <xf numFmtId="0" fontId="12" fillId="4" borderId="3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58" fontId="0" fillId="0" borderId="0" applyFont="0" applyFill="0" applyBorder="0">
      <alignment horizontal="left"/>
    </xf>
  </cellStyleXfs>
  <cellXfs count="10">
    <xf numFmtId="0" fontId="0" fillId="0" borderId="0" xfId="0">
      <alignment wrapText="1"/>
    </xf>
    <xf numFmtId="0" fontId="1" fillId="0" borderId="0" xfId="12">
      <alignment horizontal="left"/>
    </xf>
    <xf numFmtId="9" fontId="2" fillId="0" borderId="0" xfId="0" applyNumberFormat="1" applyFont="1">
      <alignment wrapText="1"/>
    </xf>
    <xf numFmtId="0" fontId="3" fillId="0" borderId="0" xfId="10" applyFont="1" applyAlignment="1">
      <alignment horizontal="left"/>
    </xf>
    <xf numFmtId="0" fontId="0" fillId="0" borderId="0" xfId="0" applyFont="1" applyBorder="1">
      <alignment wrapText="1"/>
    </xf>
    <xf numFmtId="7" fontId="0" fillId="0" borderId="0" xfId="2" applyFont="1">
      <alignment horizontal="left"/>
    </xf>
    <xf numFmtId="0" fontId="0" fillId="0" borderId="0" xfId="0" applyFill="1">
      <alignment wrapText="1"/>
    </xf>
    <xf numFmtId="7" fontId="0" fillId="0" borderId="0" xfId="2" applyNumberFormat="1" applyFont="1">
      <alignment horizontal="left"/>
    </xf>
    <xf numFmtId="0" fontId="0" fillId="0" borderId="0" xfId="0" applyAlignment="1">
      <alignment horizontal="left" wrapText="1"/>
    </xf>
    <xf numFmtId="0" fontId="0" fillId="0" borderId="0" xfId="0" applyNumberFormat="1" applyAlignment="1">
      <alignment horizontal="left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Date" xfId="49"/>
  </cellStyles>
  <dxfs count="4">
    <dxf>
      <numFmt numFmtId="7" formatCode="&quot;$&quot;#,##0.00_);\(&quot;$&quot;#,##0.00\)"/>
    </dxf>
    <dxf>
      <border>
        <top style="thin">
          <color theme="2" tint="-0.249946592608417"/>
        </top>
      </border>
    </dxf>
    <dxf>
      <border>
        <top style="thin">
          <color theme="2" tint="-0.249946592608417"/>
        </top>
        <bottom/>
      </border>
    </dxf>
    <dxf>
      <font>
        <color theme="1"/>
      </font>
    </dxf>
  </dxfs>
  <tableStyles count="1" defaultTableStyle="BudgetTable" defaultPivotStyle="PivotStyleLight16">
    <tableStyle name="BudgetTable" pivot="0" count="3" xr9:uid="{4BBC3D47-5CEF-4335-9853-2E761DE6C1D4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2" Type="http://schemas.openxmlformats.org/officeDocument/2006/relationships/styles" Target="styles.xml"/><Relationship Id="rId41" Type="http://schemas.openxmlformats.org/officeDocument/2006/relationships/sharedStrings" Target="sharedStrings.xml"/><Relationship Id="rId40" Type="http://schemas.openxmlformats.org/officeDocument/2006/relationships/theme" Target="theme/theme1.xml"/><Relationship Id="rId4" Type="http://schemas.openxmlformats.org/officeDocument/2006/relationships/worksheet" Target="worksheets/sheet4.xml"/><Relationship Id="rId39" Type="http://schemas.openxmlformats.org/officeDocument/2006/relationships/customXml" Target="../customXml/item3.xml"/><Relationship Id="rId38" Type="http://schemas.openxmlformats.org/officeDocument/2006/relationships/customXml" Target="../customXml/item2.xml"/><Relationship Id="rId37" Type="http://schemas.openxmlformats.org/officeDocument/2006/relationships/customXml" Target="../customXml/item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8" name="Expenses" displayName="Expenses" ref="B3:C15" totalsRowShown="0">
  <autoFilter xmlns:etc="http://www.wps.cn/officeDocument/2017/etCustomData" ref="B3:C15" etc:filterBottomFollowUsedRange="0"/>
  <tableColumns count="2">
    <tableColumn id="1" name="Item"/>
    <tableColumn id="2" name="Amount" dataDxfId="0">
      <calculatedColumnFormula>_xleta.SUM</calculatedColumnFormula>
    </tableColumn>
  </tableColumns>
  <tableStyleInfo name="BudgetTable" showFirstColumn="0" showLastColumn="0" showRowStripes="1" showColumnStripes="0"/>
</table>
</file>

<file path=xl/tables/table2.xml><?xml version="1.0" encoding="utf-8"?>
<table xmlns="http://schemas.openxmlformats.org/spreadsheetml/2006/main" id="1" name="Expenses_2" displayName="Expenses_2" ref="B3:C15" totalsRowShown="0">
  <autoFilter xmlns:etc="http://www.wps.cn/officeDocument/2017/etCustomData" ref="B3:C15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3.xml><?xml version="1.0" encoding="utf-8"?>
<table xmlns="http://schemas.openxmlformats.org/spreadsheetml/2006/main" id="2" name="Expenses_23" displayName="Expenses_23" ref="B3:C17" totalsRowShown="0">
  <autoFilter xmlns:etc="http://www.wps.cn/officeDocument/2017/etCustomData" ref="B3:C17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4.xml><?xml version="1.0" encoding="utf-8"?>
<table xmlns="http://schemas.openxmlformats.org/spreadsheetml/2006/main" id="3" name="Expenses_234" displayName="Expenses_234" ref="B3:C17" totalsRowShown="0">
  <autoFilter xmlns:etc="http://www.wps.cn/officeDocument/2017/etCustomData" ref="B3:C17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5.xml><?xml version="1.0" encoding="utf-8"?>
<table xmlns="http://schemas.openxmlformats.org/spreadsheetml/2006/main" id="4" name="Expenses_2345" displayName="Expenses_2345" ref="B3:C17" totalsRowShown="0">
  <autoFilter xmlns:etc="http://www.wps.cn/officeDocument/2017/etCustomData" ref="B3:C17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6.xml><?xml version="1.0" encoding="utf-8"?>
<table xmlns="http://schemas.openxmlformats.org/spreadsheetml/2006/main" id="5" name="Expenses_23456" displayName="Expenses_23456" ref="B3:C18" totalsRowShown="0">
  <autoFilter xmlns:etc="http://www.wps.cn/officeDocument/2017/etCustomData" ref="B3:C18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7.xml><?xml version="1.0" encoding="utf-8"?>
<table xmlns="http://schemas.openxmlformats.org/spreadsheetml/2006/main" id="6" name="Expenses_234567" displayName="Expenses_234567" ref="B3:C19" totalsRowShown="0">
  <autoFilter xmlns:etc="http://www.wps.cn/officeDocument/2017/etCustomData" ref="B3:C19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8.xml><?xml version="1.0" encoding="utf-8"?>
<table xmlns="http://schemas.openxmlformats.org/spreadsheetml/2006/main" id="7" name="Expenses_2345678" displayName="Expenses_2345678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9.xml><?xml version="1.0" encoding="utf-8"?>
<table xmlns="http://schemas.openxmlformats.org/spreadsheetml/2006/main" id="9" name="Expenses_234567810" displayName="Expenses_234567810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10.xml><?xml version="1.0" encoding="utf-8"?>
<table xmlns="http://schemas.openxmlformats.org/spreadsheetml/2006/main" id="10" name="Expenses_23456781011" displayName="Expenses_23456781011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11.xml><?xml version="1.0" encoding="utf-8"?>
<table xmlns="http://schemas.openxmlformats.org/spreadsheetml/2006/main" id="11" name="Expenses_2345678101112" displayName="Expenses_2345678101112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12.xml><?xml version="1.0" encoding="utf-8"?>
<table xmlns="http://schemas.openxmlformats.org/spreadsheetml/2006/main" id="12" name="Expenses_234567810111213" displayName="Expenses_234567810111213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13.xml><?xml version="1.0" encoding="utf-8"?>
<table xmlns="http://schemas.openxmlformats.org/spreadsheetml/2006/main" id="13" name="Expenses_23456781011121314" displayName="Expenses_23456781011121314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14.xml><?xml version="1.0" encoding="utf-8"?>
<table xmlns="http://schemas.openxmlformats.org/spreadsheetml/2006/main" id="14" name="Expenses_2345678101112131415" displayName="Expenses_2345678101112131415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15.xml><?xml version="1.0" encoding="utf-8"?>
<table xmlns="http://schemas.openxmlformats.org/spreadsheetml/2006/main" id="15" name="Expenses_234567810111213141516" displayName="Expenses_234567810111213141516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16.xml><?xml version="1.0" encoding="utf-8"?>
<table xmlns="http://schemas.openxmlformats.org/spreadsheetml/2006/main" id="16" name="Expenses_23456781011121314151617" displayName="Expenses_23456781011121314151617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17.xml><?xml version="1.0" encoding="utf-8"?>
<table xmlns="http://schemas.openxmlformats.org/spreadsheetml/2006/main" id="17" name="Expenses_2345678101112131415161718" displayName="Expenses_2345678101112131415161718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18.xml><?xml version="1.0" encoding="utf-8"?>
<table xmlns="http://schemas.openxmlformats.org/spreadsheetml/2006/main" id="18" name="Expenses_234567810111213141516171819" displayName="Expenses_234567810111213141516171819" ref="B3:C21" totalsRowShown="0">
  <autoFilter xmlns:etc="http://www.wps.cn/officeDocument/2017/etCustomData" ref="B3:C21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19.xml><?xml version="1.0" encoding="utf-8"?>
<table xmlns="http://schemas.openxmlformats.org/spreadsheetml/2006/main" id="21" name="Expenses_23456781011121314151617181922" displayName="Expenses_23456781011121314151617181922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20.xml><?xml version="1.0" encoding="utf-8"?>
<table xmlns="http://schemas.openxmlformats.org/spreadsheetml/2006/main" id="22" name="Expenses_2345678101112131415161718192223" displayName="Expenses_2345678101112131415161718192223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21.xml><?xml version="1.0" encoding="utf-8"?>
<table xmlns="http://schemas.openxmlformats.org/spreadsheetml/2006/main" id="23" name="Expenses_234567810111213141516171819222324" displayName="Expenses_234567810111213141516171819222324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22.xml><?xml version="1.0" encoding="utf-8"?>
<table xmlns="http://schemas.openxmlformats.org/spreadsheetml/2006/main" id="24" name="Expenses_23456781011121314151617181922232425" displayName="Expenses_23456781011121314151617181922232425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23.xml><?xml version="1.0" encoding="utf-8"?>
<table xmlns="http://schemas.openxmlformats.org/spreadsheetml/2006/main" id="25" name="Expenses_2345678101112131415161718192223242526" displayName="Expenses_2345678101112131415161718192223242526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24.xml><?xml version="1.0" encoding="utf-8"?>
<table xmlns="http://schemas.openxmlformats.org/spreadsheetml/2006/main" id="26" name="Expenses_234567810111213141516171819222324252627" displayName="Expenses_234567810111213141516171819222324252627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25.xml><?xml version="1.0" encoding="utf-8"?>
<table xmlns="http://schemas.openxmlformats.org/spreadsheetml/2006/main" id="27" name="Expenses_23456781011121314151617181922232425262728" displayName="Expenses_23456781011121314151617181922232425262728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26.xml><?xml version="1.0" encoding="utf-8"?>
<table xmlns="http://schemas.openxmlformats.org/spreadsheetml/2006/main" id="28" name="Expenses_2345678101112131415161718192223242526272829" displayName="Expenses_2345678101112131415161718192223242526272829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27.xml><?xml version="1.0" encoding="utf-8"?>
<table xmlns="http://schemas.openxmlformats.org/spreadsheetml/2006/main" id="19" name="Expenses_234567810111213141516171819222324252627282920" displayName="Expenses_234567810111213141516171819222324252627282920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28.xml><?xml version="1.0" encoding="utf-8"?>
<table xmlns="http://schemas.openxmlformats.org/spreadsheetml/2006/main" id="29" name="Expenses_23456781011121314151617181922232425262728292030" displayName="Expenses_23456781011121314151617181922232425262728292030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29.xml><?xml version="1.0" encoding="utf-8"?>
<table xmlns="http://schemas.openxmlformats.org/spreadsheetml/2006/main" id="30" name="Expenses_2345678101112131415161718192223242526272829203031" displayName="Expenses_2345678101112131415161718192223242526272829203031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30.xml><?xml version="1.0" encoding="utf-8"?>
<table xmlns="http://schemas.openxmlformats.org/spreadsheetml/2006/main" id="31" name="Expenses_234567810111213141516171819222324252627282920303132" displayName="Expenses_234567810111213141516171819222324252627282920303132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31.xml><?xml version="1.0" encoding="utf-8"?>
<table xmlns="http://schemas.openxmlformats.org/spreadsheetml/2006/main" id="32" name="Expenses_23456781011121314151617181922232425262728292030313233" displayName="Expenses_23456781011121314151617181922232425262728292030313233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32.xml><?xml version="1.0" encoding="utf-8"?>
<table xmlns="http://schemas.openxmlformats.org/spreadsheetml/2006/main" id="33" name="Expenses_2345678101112131415161718192223242526272829203031323334" displayName="Expenses_2345678101112131415161718192223242526272829203031323334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33.xml><?xml version="1.0" encoding="utf-8"?>
<table xmlns="http://schemas.openxmlformats.org/spreadsheetml/2006/main" id="34" name="Expenses_234567810111213141516171819222324252627282920303132333435" displayName="Expenses_234567810111213141516171819222324252627282920303132333435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34.xml><?xml version="1.0" encoding="utf-8"?>
<table xmlns="http://schemas.openxmlformats.org/spreadsheetml/2006/main" id="35" name="Expenses_23456781011121314151617181922232425262728292030313233343536" displayName="Expenses_23456781011121314151617181922232425262728292030313233343536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ables/table35.xml><?xml version="1.0" encoding="utf-8"?>
<table xmlns="http://schemas.openxmlformats.org/spreadsheetml/2006/main" id="20" name="Expenses_23456781011121314151617181921" displayName="Expenses_23456781011121314151617181921" ref="B3:C20" totalsRowShown="0">
  <autoFilter xmlns:etc="http://www.wps.cn/officeDocument/2017/etCustomData" ref="B3:C20" etc:filterBottomFollowUsedRange="0"/>
  <tableColumns count="2">
    <tableColumn id="1" name="Item"/>
    <tableColumn id="2" name="Amount">
      <calculatedColumnFormula>_xleta.SUM</calculatedColumnFormula>
    </tableColumn>
  </tableColumns>
  <tableStyleInfo name="Budget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ersonal Budget">
      <a:dk1>
        <a:sysClr val="windowText" lastClr="000000"/>
      </a:dk1>
      <a:lt1>
        <a:sysClr val="window" lastClr="FFFFFF"/>
      </a:lt1>
      <a:dk2>
        <a:srgbClr val="282C27"/>
      </a:dk2>
      <a:lt2>
        <a:srgbClr val="EBEDE6"/>
      </a:lt2>
      <a:accent1>
        <a:srgbClr val="91BD30"/>
      </a:accent1>
      <a:accent2>
        <a:srgbClr val="EB6982"/>
      </a:accent2>
      <a:accent3>
        <a:srgbClr val="40B0C2"/>
      </a:accent3>
      <a:accent4>
        <a:srgbClr val="E6C73D"/>
      </a:accent4>
      <a:accent5>
        <a:srgbClr val="A68C75"/>
      </a:accent5>
      <a:accent6>
        <a:srgbClr val="A64F8F"/>
      </a:accent6>
      <a:hlink>
        <a:srgbClr val="40B0C2"/>
      </a:hlink>
      <a:folHlink>
        <a:srgbClr val="A64F8F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15"/>
  <sheetViews>
    <sheetView showGridLines="0" topLeftCell="A13" workbookViewId="0">
      <selection activeCell="I23" sqref="I23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>
        <v>50</v>
      </c>
    </row>
    <row r="6" ht="24.95" customHeight="1" spans="2:3">
      <c r="B6" s="6" t="s">
        <v>6</v>
      </c>
      <c r="C6" s="7"/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f>SUM(15,30)</f>
        <v>45</v>
      </c>
    </row>
    <row r="9" ht="24.95" customHeight="1" spans="2:3">
      <c r="B9" t="s">
        <v>9</v>
      </c>
      <c r="C9" s="5"/>
    </row>
    <row r="10" ht="24.95" customHeight="1" spans="2:3">
      <c r="B10" t="s">
        <v>10</v>
      </c>
      <c r="C10" s="5">
        <v>11</v>
      </c>
    </row>
    <row r="11" ht="24.95" customHeight="1" spans="2:3">
      <c r="B11" s="6" t="s">
        <v>11</v>
      </c>
      <c r="C11" s="7">
        <v>175</v>
      </c>
    </row>
    <row r="12" ht="24.95" customHeight="1" spans="2:3">
      <c r="B12" t="s">
        <v>12</v>
      </c>
      <c r="C12" s="5"/>
    </row>
    <row r="13" ht="24.95" customHeight="1" spans="2:3">
      <c r="B13" t="s">
        <v>13</v>
      </c>
      <c r="C13" s="5"/>
    </row>
    <row r="14" ht="24.95" customHeight="1" spans="2:3">
      <c r="B14" t="s">
        <v>14</v>
      </c>
      <c r="C14" s="5"/>
    </row>
    <row r="15" customHeight="1" spans="2:3">
      <c r="B15" s="6" t="s">
        <v>15</v>
      </c>
      <c r="C15" s="5">
        <f>SUM(C4:C14)</f>
        <v>281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17"/>
  <sheetViews>
    <sheetView showGridLines="0" topLeftCell="A8" workbookViewId="0">
      <selection activeCell="E8" sqref="E8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90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35</v>
      </c>
    </row>
    <row r="9" ht="24.95" customHeight="1" spans="2:3">
      <c r="B9" t="s">
        <v>9</v>
      </c>
      <c r="C9" s="5"/>
    </row>
    <row r="10" ht="24.95" customHeight="1" spans="2:3">
      <c r="B10" t="s">
        <v>10</v>
      </c>
      <c r="C10" s="5">
        <v>7</v>
      </c>
    </row>
    <row r="11" ht="24.95" customHeight="1" spans="2:3">
      <c r="B11" s="6" t="s">
        <v>11</v>
      </c>
      <c r="C11" s="7">
        <v>0</v>
      </c>
    </row>
    <row r="12" ht="24.95" customHeight="1" spans="2:3">
      <c r="B12" t="s">
        <v>12</v>
      </c>
      <c r="C12" s="5"/>
    </row>
    <row r="13" ht="24.95" customHeight="1" spans="2:3">
      <c r="B13" t="s">
        <v>13</v>
      </c>
      <c r="C13" s="5"/>
    </row>
    <row r="14" ht="24.95" customHeight="1" spans="2:3">
      <c r="B14" t="s">
        <v>14</v>
      </c>
      <c r="C14" s="5">
        <v>350</v>
      </c>
    </row>
    <row r="15" customHeight="1" spans="2:3">
      <c r="B15" s="6" t="s">
        <v>15</v>
      </c>
      <c r="C15" s="5">
        <f>SUM(C4:C14)</f>
        <v>482</v>
      </c>
    </row>
    <row r="17" customHeight="1" spans="2:3">
      <c r="B17" t="s">
        <v>16</v>
      </c>
      <c r="C17" s="8">
        <v>100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19"/>
  <sheetViews>
    <sheetView showGridLines="0" topLeftCell="A11" workbookViewId="0">
      <selection activeCell="F20" sqref="F20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90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20</v>
      </c>
    </row>
    <row r="9" ht="24.95" customHeight="1" spans="2:3">
      <c r="B9" t="s">
        <v>9</v>
      </c>
      <c r="C9" s="5"/>
    </row>
    <row r="10" ht="24.95" customHeight="1" spans="2:3">
      <c r="B10" t="s">
        <v>10</v>
      </c>
      <c r="C10" s="5"/>
    </row>
    <row r="11" ht="24.95" customHeight="1" spans="2:3">
      <c r="B11" t="s">
        <v>17</v>
      </c>
      <c r="C11" s="5">
        <v>70</v>
      </c>
    </row>
    <row r="12" ht="24.95" customHeight="1" spans="2:3">
      <c r="B12" t="s">
        <v>18</v>
      </c>
      <c r="C12" s="5"/>
    </row>
    <row r="13" ht="24.95" customHeight="1" spans="2:3">
      <c r="B13" s="6" t="s">
        <v>11</v>
      </c>
      <c r="C13" s="7">
        <v>130</v>
      </c>
    </row>
    <row r="14" ht="24.95" customHeight="1" spans="2:3">
      <c r="B14" t="s">
        <v>12</v>
      </c>
      <c r="C14" s="5"/>
    </row>
    <row r="15" ht="24.95" customHeight="1" spans="2:3">
      <c r="B15" t="s">
        <v>13</v>
      </c>
      <c r="C15" s="5"/>
    </row>
    <row r="16" ht="24.95" customHeight="1" spans="2:3">
      <c r="B16" t="s">
        <v>14</v>
      </c>
      <c r="C16" s="5">
        <v>20</v>
      </c>
    </row>
    <row r="17" customHeight="1" spans="2:3">
      <c r="B17" s="6" t="s">
        <v>15</v>
      </c>
      <c r="C17" s="5">
        <f>SUM(C4:C16)</f>
        <v>330</v>
      </c>
    </row>
    <row r="19" customHeight="1" spans="2:3">
      <c r="B19" t="s">
        <v>16</v>
      </c>
      <c r="C19" s="8">
        <v>300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19"/>
  <sheetViews>
    <sheetView showGridLines="0" topLeftCell="A10" workbookViewId="0">
      <selection activeCell="E7" sqref="E7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90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10</v>
      </c>
    </row>
    <row r="9" ht="24.95" customHeight="1" spans="2:3">
      <c r="B9" t="s">
        <v>9</v>
      </c>
      <c r="C9" s="5"/>
    </row>
    <row r="10" ht="24.95" customHeight="1" spans="2:3">
      <c r="B10" t="s">
        <v>10</v>
      </c>
      <c r="C10" s="5"/>
    </row>
    <row r="11" ht="24.95" customHeight="1" spans="2:3">
      <c r="B11" t="s">
        <v>17</v>
      </c>
      <c r="C11" s="5">
        <v>20</v>
      </c>
    </row>
    <row r="12" ht="24.95" customHeight="1" spans="2:3">
      <c r="B12" t="s">
        <v>18</v>
      </c>
      <c r="C12" s="5"/>
    </row>
    <row r="13" ht="24.95" customHeight="1" spans="2:3">
      <c r="B13" s="6" t="s">
        <v>11</v>
      </c>
      <c r="C13" s="7">
        <v>300</v>
      </c>
    </row>
    <row r="14" ht="24.95" customHeight="1" spans="2:3">
      <c r="B14" t="s">
        <v>12</v>
      </c>
      <c r="C14" s="5"/>
    </row>
    <row r="15" ht="24.95" customHeight="1" spans="2:3">
      <c r="B15" t="s">
        <v>13</v>
      </c>
      <c r="C15" s="5"/>
    </row>
    <row r="16" ht="24.95" customHeight="1" spans="2:3">
      <c r="B16" t="s">
        <v>14</v>
      </c>
      <c r="C16" s="5"/>
    </row>
    <row r="17" customHeight="1" spans="2:3">
      <c r="B17" s="6" t="s">
        <v>15</v>
      </c>
      <c r="C17" s="5">
        <f>SUM(C4:C16)</f>
        <v>420</v>
      </c>
    </row>
    <row r="19" customHeight="1" spans="2:3">
      <c r="B19" t="s">
        <v>16</v>
      </c>
      <c r="C19" s="8">
        <v>200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19"/>
  <sheetViews>
    <sheetView showGridLines="0" topLeftCell="A10" workbookViewId="0">
      <selection activeCell="F17" sqref="F17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90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/>
    </row>
    <row r="9" ht="24.95" customHeight="1" spans="2:3">
      <c r="B9" t="s">
        <v>9</v>
      </c>
      <c r="C9" s="5"/>
    </row>
    <row r="10" ht="24.95" customHeight="1" spans="2:3">
      <c r="B10" t="s">
        <v>10</v>
      </c>
      <c r="C10" s="5"/>
    </row>
    <row r="11" ht="24.95" customHeight="1" spans="2:3">
      <c r="B11" t="s">
        <v>17</v>
      </c>
      <c r="C11" s="5"/>
    </row>
    <row r="12" ht="24.95" customHeight="1" spans="2:3">
      <c r="B12" t="s">
        <v>18</v>
      </c>
      <c r="C12" s="5"/>
    </row>
    <row r="13" ht="24.95" customHeight="1" spans="2:3">
      <c r="B13" s="6" t="s">
        <v>11</v>
      </c>
      <c r="C13" s="7">
        <v>320</v>
      </c>
    </row>
    <row r="14" ht="24.95" customHeight="1" spans="2:3">
      <c r="B14" t="s">
        <v>12</v>
      </c>
      <c r="C14" s="5"/>
    </row>
    <row r="15" ht="24.95" customHeight="1" spans="2:3">
      <c r="B15" t="s">
        <v>13</v>
      </c>
      <c r="C15" s="5"/>
    </row>
    <row r="16" ht="24.95" customHeight="1" spans="2:3">
      <c r="B16" t="s">
        <v>14</v>
      </c>
      <c r="C16" s="5"/>
    </row>
    <row r="17" customHeight="1" spans="2:3">
      <c r="B17" s="6" t="s">
        <v>15</v>
      </c>
      <c r="C17" s="5">
        <f>SUM(C4:C16)</f>
        <v>410</v>
      </c>
    </row>
    <row r="19" customHeight="1" spans="2:3">
      <c r="B19" t="s">
        <v>16</v>
      </c>
      <c r="C19" s="8">
        <v>230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2"/>
  <sheetViews>
    <sheetView showGridLines="0" topLeftCell="A14" workbookViewId="0">
      <selection activeCell="H1" sqref="H1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>
        <v>5300</v>
      </c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230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1030</v>
      </c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>
        <v>5000</v>
      </c>
    </row>
    <row r="11" ht="24.95" customHeight="1" spans="2:3">
      <c r="B11" t="s">
        <v>10</v>
      </c>
      <c r="C11" s="5">
        <f>SUM(74,42,25,48,10)</f>
        <v>199</v>
      </c>
    </row>
    <row r="12" ht="24.95" customHeight="1" spans="2:3">
      <c r="B12" t="s">
        <v>17</v>
      </c>
      <c r="C12" s="5">
        <v>20</v>
      </c>
    </row>
    <row r="13" ht="24.95" customHeight="1" spans="2:3">
      <c r="B13" t="s">
        <v>18</v>
      </c>
      <c r="C13" s="5">
        <v>3200</v>
      </c>
    </row>
    <row r="14" ht="24.95" customHeight="1" spans="2:3">
      <c r="B14" s="6" t="s">
        <v>11</v>
      </c>
      <c r="C14" s="7">
        <f>SUM(60,30,20,150,45)</f>
        <v>305</v>
      </c>
    </row>
    <row r="15" ht="24.95" customHeight="1" spans="2:3">
      <c r="B15" t="s">
        <v>12</v>
      </c>
      <c r="C15" s="5"/>
    </row>
    <row r="16" ht="24.95" customHeight="1" spans="2:3">
      <c r="B16" t="s">
        <v>13</v>
      </c>
      <c r="C16" s="5"/>
    </row>
    <row r="17" ht="24.95" customHeight="1" spans="2:3">
      <c r="B17" t="s">
        <v>14</v>
      </c>
      <c r="C17" s="5">
        <v>10</v>
      </c>
    </row>
    <row r="18" customHeight="1" spans="2:3">
      <c r="B18" s="6" t="s">
        <v>15</v>
      </c>
      <c r="C18" s="5">
        <f>SUM(C4:C17)</f>
        <v>15294</v>
      </c>
    </row>
    <row r="20" customHeight="1" spans="2:3">
      <c r="B20" t="s">
        <v>20</v>
      </c>
      <c r="C20" s="8">
        <v>28170</v>
      </c>
    </row>
    <row r="21" customHeight="1" spans="2:3">
      <c r="B21" t="s">
        <v>16</v>
      </c>
      <c r="C21" s="8">
        <v>600</v>
      </c>
    </row>
    <row r="22" customHeight="1" spans="2:3">
      <c r="B22" t="s">
        <v>21</v>
      </c>
      <c r="C22" s="9">
        <f>SUM(C20:C21)</f>
        <v>28770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3"/>
  <sheetViews>
    <sheetView showGridLines="0" topLeftCell="A13" workbookViewId="0">
      <selection activeCell="H21" sqref="H21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f>SUM(40,30,20,30,150,150,30,40,40)</f>
        <v>530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40</v>
      </c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>
        <f>SUM(7,7,13,13,13)</f>
        <v>53</v>
      </c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>
        <v>1200</v>
      </c>
    </row>
    <row r="15" ht="24.95" customHeight="1" spans="2:3">
      <c r="B15" s="6" t="s">
        <v>11</v>
      </c>
      <c r="C15" s="7">
        <f>SUM(150,70,50)</f>
        <v>270</v>
      </c>
    </row>
    <row r="16" ht="24.95" customHeight="1" spans="2:3">
      <c r="B16" t="s">
        <v>12</v>
      </c>
      <c r="C16" s="5"/>
    </row>
    <row r="17" ht="24.95" customHeight="1" spans="2:3">
      <c r="B17" t="s">
        <v>13</v>
      </c>
      <c r="C17" s="5"/>
    </row>
    <row r="18" ht="24.95" customHeight="1" spans="2:3">
      <c r="B18" t="s">
        <v>14</v>
      </c>
      <c r="C18" s="5"/>
    </row>
    <row r="19" customHeight="1" spans="2:3">
      <c r="B19" s="6" t="s">
        <v>15</v>
      </c>
      <c r="C19" s="5">
        <f>SUM(C4:C18)</f>
        <v>2093</v>
      </c>
    </row>
    <row r="21" customHeight="1" spans="2:3">
      <c r="B21" t="s">
        <v>20</v>
      </c>
      <c r="C21" s="8">
        <v>0</v>
      </c>
    </row>
    <row r="22" customHeight="1" spans="2:3">
      <c r="B22" t="s">
        <v>16</v>
      </c>
      <c r="C22" s="8">
        <v>170</v>
      </c>
    </row>
    <row r="23" customHeight="1" spans="2:3">
      <c r="B23" t="s">
        <v>21</v>
      </c>
      <c r="C23" s="9">
        <f>SUM(C21:C22)</f>
        <v>170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15" workbookViewId="0">
      <selection activeCell="L20" sqref="L20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/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20</v>
      </c>
    </row>
    <row r="9" ht="24.95" customHeight="1" spans="2:3">
      <c r="B9" t="s">
        <v>9</v>
      </c>
      <c r="C9" s="5">
        <v>20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>
        <v>5</v>
      </c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f>SUM(100,150,50,35)</f>
        <v>335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>
        <v>175</v>
      </c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555</v>
      </c>
    </row>
    <row r="22" customHeight="1" spans="2:3">
      <c r="B22" t="s">
        <v>20</v>
      </c>
      <c r="C22" s="8">
        <v>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10" workbookViewId="0">
      <selection activeCell="C19" sqref="C19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f>SUM(40,50,40,30,40,40)</f>
        <v>240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/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>
        <v>185</v>
      </c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f>SUM(130,10,60,20)</f>
        <v>220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>
        <v>16150</v>
      </c>
    </row>
    <row r="20" customHeight="1" spans="2:3">
      <c r="B20" s="6" t="s">
        <v>15</v>
      </c>
      <c r="C20" s="5">
        <f>SUM(C4:C19)</f>
        <v>16795</v>
      </c>
    </row>
    <row r="22" customHeight="1" spans="2:3">
      <c r="B22" t="s">
        <v>20</v>
      </c>
      <c r="C22" s="8">
        <v>0</v>
      </c>
    </row>
    <row r="23" customHeight="1" spans="2:3">
      <c r="B23" t="s">
        <v>16</v>
      </c>
      <c r="C23" s="8">
        <v>100</v>
      </c>
    </row>
    <row r="24" customHeight="1" spans="2:3">
      <c r="B24" t="s">
        <v>21</v>
      </c>
      <c r="C24" s="9">
        <f>SUM(C22:C23)</f>
        <v>100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13" workbookViewId="0">
      <selection activeCell="K9" sqref="K9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90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/>
    </row>
    <row r="9" ht="24.95" customHeight="1" spans="2:3">
      <c r="B9" t="s">
        <v>9</v>
      </c>
      <c r="C9" s="5">
        <v>509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>
        <f>SUM(10,11)</f>
        <v>21</v>
      </c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v>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620</v>
      </c>
    </row>
    <row r="22" customHeight="1" spans="2:3">
      <c r="B22" t="s">
        <v>20</v>
      </c>
      <c r="C22" s="8">
        <v>0</v>
      </c>
    </row>
    <row r="23" customHeight="1" spans="2:3">
      <c r="B23" t="s">
        <v>16</v>
      </c>
      <c r="C23" s="8">
        <v>170</v>
      </c>
    </row>
    <row r="24" customHeight="1" spans="2:3">
      <c r="B24" t="s">
        <v>21</v>
      </c>
      <c r="C24" s="9">
        <f>SUM(C22:C23)</f>
        <v>170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abSelected="1" topLeftCell="A18" workbookViewId="0">
      <selection activeCell="F26" sqref="F26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90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60</v>
      </c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f>SUM(175,200,20,10,10)</f>
        <v>415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565</v>
      </c>
    </row>
    <row r="22" customHeight="1" spans="2:3">
      <c r="B22" t="s">
        <v>20</v>
      </c>
      <c r="C22" s="8">
        <v>0</v>
      </c>
    </row>
    <row r="23" customHeight="1" spans="2:3">
      <c r="B23" t="s">
        <v>16</v>
      </c>
      <c r="C23" s="8">
        <v>13200</v>
      </c>
    </row>
    <row r="24" customHeight="1" spans="2:3">
      <c r="B24" t="s">
        <v>21</v>
      </c>
      <c r="C24" s="9">
        <f>SUM(C22:C23)</f>
        <v>13200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14" workbookViewId="0">
      <selection activeCell="D24" sqref="D24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f>SUM(40,40,150)</f>
        <v>230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20</v>
      </c>
    </row>
    <row r="9" ht="24.95" customHeight="1" spans="2:3">
      <c r="B9" t="s">
        <v>9</v>
      </c>
      <c r="C9" s="5">
        <v>80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>
        <v>50</v>
      </c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/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380</v>
      </c>
    </row>
    <row r="22" customHeight="1" spans="2:3">
      <c r="B22" t="s">
        <v>20</v>
      </c>
      <c r="C22" s="8">
        <v>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14" workbookViewId="0">
      <selection activeCell="E20" sqref="E20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f>SUM(30,40)</f>
        <v>70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/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/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>
        <v>150</v>
      </c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220</v>
      </c>
    </row>
    <row r="22" customHeight="1" spans="2:3">
      <c r="B22" t="s">
        <v>20</v>
      </c>
      <c r="C22" s="8">
        <v>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8" workbookViewId="0">
      <selection activeCell="C8" sqref="C8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1000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60</v>
      </c>
    </row>
    <row r="9" ht="24.95" customHeight="1" spans="2:3">
      <c r="B9" t="s">
        <v>9</v>
      </c>
      <c r="C9" s="5">
        <v>240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>
        <v>24</v>
      </c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f>SUM(40,100,20,80,100)</f>
        <v>340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>
        <v>350</v>
      </c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>
        <v>100</v>
      </c>
    </row>
    <row r="20" customHeight="1" spans="2:3">
      <c r="B20" s="6" t="s">
        <v>15</v>
      </c>
      <c r="C20" s="5">
        <f>SUM(C4:C19)</f>
        <v>2114</v>
      </c>
    </row>
    <row r="22" customHeight="1" spans="2:3">
      <c r="B22" t="s">
        <v>20</v>
      </c>
      <c r="C22" s="8">
        <v>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17" workbookViewId="0">
      <selection activeCell="C20" sqref="C20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f>SUM(30,50,40,20,40,30,30)</f>
        <v>240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/>
    </row>
    <row r="9" ht="24.95" customHeight="1" spans="2:3">
      <c r="B9" t="s">
        <v>9</v>
      </c>
      <c r="C9" s="5">
        <v>370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>
        <v>100</v>
      </c>
    </row>
    <row r="15" ht="24.95" customHeight="1" spans="2:3">
      <c r="B15" s="6" t="s">
        <v>11</v>
      </c>
      <c r="C15" s="7">
        <v>60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SUM(C1:C19)</f>
        <v>770</v>
      </c>
    </row>
    <row r="22" customHeight="1" spans="2:3">
      <c r="B22" t="s">
        <v>20</v>
      </c>
      <c r="C22" s="8">
        <v>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14" workbookViewId="0">
      <selection activeCell="F19" sqref="F19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/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f>SUM(10,2,)</f>
        <v>12</v>
      </c>
    </row>
    <row r="9" ht="24.95" customHeight="1" spans="2:3">
      <c r="B9" t="s">
        <v>9</v>
      </c>
      <c r="C9" s="5">
        <v>110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v>130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SUM(C1:C19)</f>
        <v>252</v>
      </c>
    </row>
    <row r="22" customHeight="1" spans="2:3">
      <c r="B22" t="s">
        <v>20</v>
      </c>
      <c r="C22" s="8">
        <v>400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400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workbookViewId="0">
      <selection activeCell="F2" sqref="F2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f>SUM(50,50,)</f>
        <v>100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f>SUM(10,20,20,20)</f>
        <v>70</v>
      </c>
    </row>
    <row r="9" ht="24.95" customHeight="1" spans="2:3">
      <c r="B9" t="s">
        <v>9</v>
      </c>
      <c r="C9" s="5">
        <v>215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f>SUM(60,100)</f>
        <v>160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SUM(C1:C19)</f>
        <v>545</v>
      </c>
    </row>
    <row r="22" customHeight="1" spans="2:3">
      <c r="B22" t="s">
        <v>20</v>
      </c>
      <c r="C22" s="8"/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5"/>
  <sheetViews>
    <sheetView showGridLines="0" topLeftCell="A13" workbookViewId="0">
      <selection activeCell="E23" sqref="E23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160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/>
    </row>
    <row r="9" ht="24.95" customHeight="1" spans="2:3">
      <c r="B9" t="s">
        <v>9</v>
      </c>
      <c r="C9" s="5">
        <v>200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>
        <v>29</v>
      </c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>
        <v>250</v>
      </c>
    </row>
    <row r="15" ht="24.95" customHeight="1" spans="2:3">
      <c r="B15" s="6" t="s">
        <v>11</v>
      </c>
      <c r="C15" s="7"/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>
        <v>570</v>
      </c>
    </row>
    <row r="18" ht="24.95" customHeight="1" spans="2:3">
      <c r="B18" t="s">
        <v>13</v>
      </c>
      <c r="C18" s="5"/>
    </row>
    <row r="19" ht="24.95" customHeight="1" spans="2:3">
      <c r="B19" t="s">
        <v>24</v>
      </c>
      <c r="C19" s="5">
        <v>800</v>
      </c>
    </row>
    <row r="20" ht="24.95" customHeight="1" spans="2:3">
      <c r="B20" t="s">
        <v>14</v>
      </c>
      <c r="C20" s="5">
        <v>250</v>
      </c>
    </row>
    <row r="21" customHeight="1" spans="2:3">
      <c r="B21" s="6" t="s">
        <v>15</v>
      </c>
      <c r="C21" s="5">
        <f>SUM(C1:C20)</f>
        <v>2259</v>
      </c>
    </row>
    <row r="23" customHeight="1" spans="2:3">
      <c r="B23" t="s">
        <v>20</v>
      </c>
      <c r="C23" s="8"/>
    </row>
    <row r="24" customHeight="1" spans="2:3">
      <c r="B24" t="s">
        <v>16</v>
      </c>
      <c r="C24" s="8"/>
    </row>
    <row r="25" customHeight="1" spans="2:3">
      <c r="B25" t="s">
        <v>21</v>
      </c>
      <c r="C25" s="9">
        <f>SUM(C23:C24)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2" workbookViewId="0">
      <selection activeCell="G12" sqref="G12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/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30</v>
      </c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/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30</v>
      </c>
    </row>
    <row r="22" customHeight="1" spans="2:3">
      <c r="B22" t="s">
        <v>20</v>
      </c>
      <c r="C22" s="8"/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13" workbookViewId="0">
      <selection activeCell="H17" sqref="H17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f>SUM(160)</f>
        <v>160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/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>
        <f>SUM(7,)</f>
        <v>7</v>
      </c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v>100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>
        <f>SUM(70,1100,100,1000,1070,60,60,600,20)</f>
        <v>4080</v>
      </c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>
        <v>700</v>
      </c>
    </row>
    <row r="20" customHeight="1" spans="2:3">
      <c r="B20" s="6" t="s">
        <v>15</v>
      </c>
      <c r="C20" s="5">
        <f>SUM(C4:C19)</f>
        <v>5047</v>
      </c>
    </row>
    <row r="22" customHeight="1" spans="2:3">
      <c r="B22" t="s">
        <v>20</v>
      </c>
      <c r="C22" s="8">
        <f>SUM(300,150,470)</f>
        <v>920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920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16" workbookViewId="0">
      <selection activeCell="C26" sqref="C26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/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/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v>540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540</v>
      </c>
    </row>
    <row r="22" customHeight="1" spans="2:3">
      <c r="B22" t="s">
        <v>20</v>
      </c>
      <c r="C22" s="8"/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6" workbookViewId="0">
      <selection activeCell="F13" sqref="F13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/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44</v>
      </c>
    </row>
    <row r="9" ht="24.95" customHeight="1" spans="2:3">
      <c r="B9" t="s">
        <v>9</v>
      </c>
      <c r="C9" s="5">
        <v>35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/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>
        <v>60</v>
      </c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139</v>
      </c>
    </row>
    <row r="22" customHeight="1" spans="2:3">
      <c r="B22" t="s">
        <v>20</v>
      </c>
      <c r="C22" s="8"/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5" workbookViewId="0">
      <selection activeCell="C9" sqref="C9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>
        <v>50</v>
      </c>
    </row>
    <row r="6" ht="24.95" customHeight="1" spans="2:3">
      <c r="B6" s="6" t="s">
        <v>6</v>
      </c>
      <c r="C6" s="7">
        <v>100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60</v>
      </c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v>80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>
        <v>60</v>
      </c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350</v>
      </c>
    </row>
    <row r="22" customHeight="1" spans="2:3">
      <c r="B22" t="s">
        <v>20</v>
      </c>
      <c r="C22" s="8"/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4" workbookViewId="0">
      <selection activeCell="G15" sqref="G15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90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20</v>
      </c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>
        <v>300</v>
      </c>
    </row>
    <row r="15" ht="24.95" customHeight="1" spans="2:3">
      <c r="B15" s="6" t="s">
        <v>11</v>
      </c>
      <c r="C15" s="7">
        <f>SUM(120,10,20,75)</f>
        <v>225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635</v>
      </c>
    </row>
    <row r="22" customHeight="1" spans="2:3">
      <c r="B22" t="s">
        <v>20</v>
      </c>
      <c r="C22" s="8">
        <v>250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250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workbookViewId="0">
      <selection activeCell="E4" sqref="E4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90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/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/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>
        <v>30</v>
      </c>
    </row>
    <row r="20" customHeight="1" spans="2:3">
      <c r="B20" s="6" t="s">
        <v>15</v>
      </c>
      <c r="C20" s="5">
        <f>SUM(C4:C19)</f>
        <v>120</v>
      </c>
    </row>
    <row r="22" customHeight="1" spans="2:3">
      <c r="B22" t="s">
        <v>20</v>
      </c>
      <c r="C22" s="8">
        <v>250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250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15" workbookViewId="0">
      <selection activeCell="E23" sqref="E23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90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20</v>
      </c>
    </row>
    <row r="9" ht="24.95" customHeight="1" spans="2:3">
      <c r="B9" t="s">
        <v>9</v>
      </c>
      <c r="C9" s="5">
        <f>SUM(895,265)</f>
        <v>1160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>
        <v>30</v>
      </c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f>SUM(10,280,20,100,45,15)</f>
        <v>470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>
        <v>30</v>
      </c>
    </row>
    <row r="20" customHeight="1" spans="2:3">
      <c r="B20" s="6" t="s">
        <v>15</v>
      </c>
      <c r="C20" s="5">
        <f>SUM(C4:C19)</f>
        <v>1800</v>
      </c>
    </row>
    <row r="22" customHeight="1" spans="2:3">
      <c r="B22" t="s">
        <v>20</v>
      </c>
      <c r="C22" s="8">
        <v>10380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10380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16" workbookViewId="0">
      <selection activeCell="C24" sqref="C24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90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40</v>
      </c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>
        <v>5350</v>
      </c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>
        <v>40</v>
      </c>
    </row>
    <row r="13" ht="24.95" customHeight="1" spans="2:3">
      <c r="B13" t="s">
        <v>18</v>
      </c>
      <c r="C13" s="5">
        <v>1000</v>
      </c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v>130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6650</v>
      </c>
    </row>
    <row r="22" customHeight="1" spans="2:3">
      <c r="B22" t="s">
        <v>20</v>
      </c>
      <c r="C22" s="8">
        <v>250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250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12" workbookViewId="0">
      <selection activeCell="L21" sqref="L21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f>SUM(40,50,30,30,50,40)</f>
        <v>240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25</v>
      </c>
    </row>
    <row r="9" ht="24.95" customHeight="1" spans="2:3">
      <c r="B9" t="s">
        <v>9</v>
      </c>
      <c r="C9" s="5">
        <v>185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>
        <v>30</v>
      </c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f>SUM(10,280,20,100,45,15)</f>
        <v>470</v>
      </c>
    </row>
    <row r="16" ht="24.95" customHeight="1" spans="2:3">
      <c r="B16" t="s">
        <v>12</v>
      </c>
      <c r="C16" s="5">
        <v>1800</v>
      </c>
    </row>
    <row r="17" ht="24.95" customHeight="1" spans="2:3">
      <c r="B17" t="s">
        <v>23</v>
      </c>
      <c r="C17" s="5">
        <v>450</v>
      </c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>
        <v>30</v>
      </c>
    </row>
    <row r="20" customHeight="1" spans="2:3">
      <c r="B20" s="6" t="s">
        <v>15</v>
      </c>
      <c r="C20" s="5">
        <f>SUM(C4:C19)</f>
        <v>3230</v>
      </c>
    </row>
    <row r="22" customHeight="1" spans="2:3">
      <c r="B22" t="s">
        <v>20</v>
      </c>
      <c r="C22" s="8">
        <v>60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60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9" workbookViewId="0">
      <selection activeCell="E11" sqref="E11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f>SUM(30,30,30,20)</f>
        <v>110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f>SUM(30,20,)</f>
        <v>50</v>
      </c>
    </row>
    <row r="9" ht="24.95" customHeight="1" spans="2:3">
      <c r="B9" t="s">
        <v>9</v>
      </c>
      <c r="C9" s="5">
        <v>100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f>SUM(200,30,20)</f>
        <v>250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>
        <v>100</v>
      </c>
    </row>
    <row r="20" customHeight="1" spans="2:3">
      <c r="B20" s="6" t="s">
        <v>15</v>
      </c>
      <c r="C20" s="5">
        <f>SUM(C4:C19)</f>
        <v>610</v>
      </c>
    </row>
    <row r="22" customHeight="1" spans="2:3">
      <c r="B22" t="s">
        <v>20</v>
      </c>
      <c r="C22" s="8">
        <v>60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60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workbookViewId="0">
      <selection activeCell="C1" sqref="C1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90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20</v>
      </c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>
        <v>30</v>
      </c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>
        <v>500</v>
      </c>
    </row>
    <row r="15" ht="24.95" customHeight="1" spans="2:3">
      <c r="B15" s="6" t="s">
        <v>11</v>
      </c>
      <c r="C15" s="7">
        <v>290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>
        <v>100</v>
      </c>
    </row>
    <row r="20" customHeight="1" spans="2:3">
      <c r="B20" s="6" t="s">
        <v>15</v>
      </c>
      <c r="C20" s="5">
        <f>SUM(C4:C19)</f>
        <v>1030</v>
      </c>
    </row>
    <row r="22" customHeight="1" spans="2:3">
      <c r="B22" t="s">
        <v>20</v>
      </c>
      <c r="C22" s="8">
        <v>60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60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9" workbookViewId="0">
      <selection activeCell="C19" sqref="C19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>
        <v>0</v>
      </c>
    </row>
    <row r="5" ht="24.95" customHeight="1" spans="2:3">
      <c r="B5" t="s">
        <v>5</v>
      </c>
      <c r="C5" s="5">
        <v>0</v>
      </c>
    </row>
    <row r="6" ht="24.95" customHeight="1" spans="2:3">
      <c r="B6" s="6" t="s">
        <v>6</v>
      </c>
      <c r="C6" s="7">
        <v>90</v>
      </c>
    </row>
    <row r="7" ht="24.95" customHeight="1" spans="2:3">
      <c r="B7" t="s">
        <v>7</v>
      </c>
      <c r="C7" s="5">
        <v>0</v>
      </c>
    </row>
    <row r="8" ht="24.95" customHeight="1" spans="2:3">
      <c r="B8" t="s">
        <v>8</v>
      </c>
      <c r="C8" s="5">
        <v>60</v>
      </c>
    </row>
    <row r="9" ht="24.95" customHeight="1" spans="2:3">
      <c r="B9" t="s">
        <v>9</v>
      </c>
      <c r="C9" s="5">
        <v>0</v>
      </c>
    </row>
    <row r="10" ht="24.95" customHeight="1" spans="2:3">
      <c r="B10" t="s">
        <v>19</v>
      </c>
      <c r="C10" s="5">
        <v>0</v>
      </c>
    </row>
    <row r="11" ht="24.95" customHeight="1" spans="2:3">
      <c r="B11" t="s">
        <v>10</v>
      </c>
      <c r="C11" s="5">
        <v>0</v>
      </c>
    </row>
    <row r="12" ht="24.95" customHeight="1" spans="2:3">
      <c r="B12" t="s">
        <v>17</v>
      </c>
      <c r="C12" s="5">
        <v>0</v>
      </c>
    </row>
    <row r="13" ht="24.95" customHeight="1" spans="2:3">
      <c r="B13" t="s">
        <v>18</v>
      </c>
      <c r="C13" s="5">
        <v>0</v>
      </c>
    </row>
    <row r="14" ht="24.95" customHeight="1" spans="2:3">
      <c r="B14" t="s">
        <v>22</v>
      </c>
      <c r="C14" s="5">
        <v>0</v>
      </c>
    </row>
    <row r="15" ht="24.95" customHeight="1" spans="2:3">
      <c r="B15" s="6" t="s">
        <v>11</v>
      </c>
      <c r="C15" s="7">
        <f>SUM(80,60,25,10)</f>
        <v>175</v>
      </c>
    </row>
    <row r="16" ht="24.95" customHeight="1" spans="2:3">
      <c r="B16" t="s">
        <v>12</v>
      </c>
      <c r="C16" s="5">
        <v>0</v>
      </c>
    </row>
    <row r="17" ht="24.95" customHeight="1" spans="2:3">
      <c r="B17" t="s">
        <v>23</v>
      </c>
      <c r="C17" s="5">
        <v>0</v>
      </c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325</v>
      </c>
    </row>
    <row r="22" customHeight="1" spans="2:3">
      <c r="B22" t="s">
        <v>20</v>
      </c>
      <c r="C22" s="8"/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21" workbookViewId="0">
      <selection activeCell="E26" sqref="E26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90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70</v>
      </c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f>SUM(80,60,25,10)</f>
        <v>175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>
        <v>100</v>
      </c>
    </row>
    <row r="20" customHeight="1" spans="2:3">
      <c r="B20" s="6" t="s">
        <v>15</v>
      </c>
      <c r="C20" s="5">
        <f>SUM(C4:C19)</f>
        <v>435</v>
      </c>
    </row>
    <row r="22" customHeight="1" spans="2:3">
      <c r="B22" t="s">
        <v>20</v>
      </c>
      <c r="C22" s="8">
        <v>30</v>
      </c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30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topLeftCell="A16" workbookViewId="0">
      <selection activeCell="C26" sqref="C26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150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5</v>
      </c>
    </row>
    <row r="9" ht="24.95" customHeight="1" spans="2:3">
      <c r="B9" t="s">
        <v>9</v>
      </c>
      <c r="C9" s="5">
        <f>SUM(40,20,40,50,30,20,20,50,25,50)</f>
        <v>345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>
        <v>5</v>
      </c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f>SUM(90,200,10)</f>
        <v>300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805</v>
      </c>
    </row>
    <row r="22" customHeight="1" spans="2:3">
      <c r="B22" t="s">
        <v>20</v>
      </c>
      <c r="C22" s="8"/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workbookViewId="0">
      <selection activeCell="G1" sqref="G1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/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>
        <v>90</v>
      </c>
    </row>
    <row r="9" ht="24.95" customHeight="1" spans="2:3">
      <c r="B9" t="s">
        <v>9</v>
      </c>
      <c r="C9" s="5"/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/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/>
    </row>
    <row r="15" ht="24.95" customHeight="1" spans="2:3">
      <c r="B15" s="6" t="s">
        <v>11</v>
      </c>
      <c r="C15" s="7">
        <v>140</v>
      </c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/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/>
    </row>
    <row r="20" customHeight="1" spans="2:3">
      <c r="B20" s="6" t="s">
        <v>15</v>
      </c>
      <c r="C20" s="5">
        <f>SUM(C4:C19)</f>
        <v>230</v>
      </c>
    </row>
    <row r="22" customHeight="1" spans="2:3">
      <c r="B22" t="s">
        <v>20</v>
      </c>
      <c r="C22" s="8"/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  <pageSetUpPr fitToPage="1"/>
  </sheetPr>
  <dimension ref="B1:C24"/>
  <sheetViews>
    <sheetView showGridLines="0" workbookViewId="0">
      <selection activeCell="H10" sqref="H10"/>
    </sheetView>
  </sheetViews>
  <sheetFormatPr defaultColWidth="9" defaultRowHeight="28.5" customHeight="1" outlineLevelCol="2"/>
  <cols>
    <col min="1" max="1" width="3.22222222222222" customWidth="1"/>
    <col min="2" max="2" width="28.5555555555556" customWidth="1"/>
    <col min="3" max="3" width="20.3333333333333" customWidth="1"/>
    <col min="4" max="4" width="9" customWidth="1"/>
  </cols>
  <sheetData>
    <row r="1" ht="35.25" customHeight="1" spans="2:3">
      <c r="B1" s="3" t="s">
        <v>0</v>
      </c>
      <c r="C1" s="1"/>
    </row>
    <row r="2" ht="45" customHeight="1" spans="2:2">
      <c r="B2" s="1" t="s">
        <v>1</v>
      </c>
    </row>
    <row r="3" ht="24.95" customHeight="1" spans="2:3">
      <c r="B3" s="4" t="s">
        <v>2</v>
      </c>
      <c r="C3" s="4" t="s">
        <v>3</v>
      </c>
    </row>
    <row r="4" ht="24.95" customHeight="1" spans="2:3">
      <c r="B4" t="s">
        <v>4</v>
      </c>
      <c r="C4" s="5"/>
    </row>
    <row r="5" ht="24.95" customHeight="1" spans="2:3">
      <c r="B5" t="s">
        <v>5</v>
      </c>
      <c r="C5" s="5"/>
    </row>
    <row r="6" ht="24.95" customHeight="1" spans="2:3">
      <c r="B6" s="6" t="s">
        <v>6</v>
      </c>
      <c r="C6" s="7">
        <v>160</v>
      </c>
    </row>
    <row r="7" ht="24.95" customHeight="1" spans="2:3">
      <c r="B7" t="s">
        <v>7</v>
      </c>
      <c r="C7" s="5"/>
    </row>
    <row r="8" ht="24.95" customHeight="1" spans="2:3">
      <c r="B8" t="s">
        <v>8</v>
      </c>
      <c r="C8" s="5"/>
    </row>
    <row r="9" ht="24.95" customHeight="1" spans="2:3">
      <c r="B9" t="s">
        <v>9</v>
      </c>
      <c r="C9" s="5">
        <v>200</v>
      </c>
    </row>
    <row r="10" ht="24.95" customHeight="1" spans="2:3">
      <c r="B10" t="s">
        <v>19</v>
      </c>
      <c r="C10" s="5"/>
    </row>
    <row r="11" ht="24.95" customHeight="1" spans="2:3">
      <c r="B11" t="s">
        <v>10</v>
      </c>
      <c r="C11" s="5">
        <v>29</v>
      </c>
    </row>
    <row r="12" ht="24.95" customHeight="1" spans="2:3">
      <c r="B12" t="s">
        <v>17</v>
      </c>
      <c r="C12" s="5"/>
    </row>
    <row r="13" ht="24.95" customHeight="1" spans="2:3">
      <c r="B13" t="s">
        <v>18</v>
      </c>
      <c r="C13" s="5"/>
    </row>
    <row r="14" ht="24.95" customHeight="1" spans="2:3">
      <c r="B14" t="s">
        <v>22</v>
      </c>
      <c r="C14" s="5">
        <v>250</v>
      </c>
    </row>
    <row r="15" ht="24.95" customHeight="1" spans="2:3">
      <c r="B15" s="6" t="s">
        <v>11</v>
      </c>
      <c r="C15" s="7"/>
    </row>
    <row r="16" ht="24.95" customHeight="1" spans="2:3">
      <c r="B16" t="s">
        <v>12</v>
      </c>
      <c r="C16" s="5"/>
    </row>
    <row r="17" ht="24.95" customHeight="1" spans="2:3">
      <c r="B17" t="s">
        <v>23</v>
      </c>
      <c r="C17" s="5">
        <v>570</v>
      </c>
    </row>
    <row r="18" ht="24.95" customHeight="1" spans="2:3">
      <c r="B18" t="s">
        <v>13</v>
      </c>
      <c r="C18" s="5"/>
    </row>
    <row r="19" ht="24.95" customHeight="1" spans="2:3">
      <c r="B19" t="s">
        <v>14</v>
      </c>
      <c r="C19" s="5">
        <v>250</v>
      </c>
    </row>
    <row r="20" customHeight="1" spans="2:3">
      <c r="B20" s="6" t="s">
        <v>15</v>
      </c>
      <c r="C20" s="5">
        <f>SUM(C1:C19)</f>
        <v>1459</v>
      </c>
    </row>
    <row r="22" customHeight="1" spans="2:3">
      <c r="B22" t="s">
        <v>20</v>
      </c>
      <c r="C22" s="8"/>
    </row>
    <row r="23" customHeight="1" spans="2:3">
      <c r="B23" t="s">
        <v>16</v>
      </c>
      <c r="C23" s="8"/>
    </row>
    <row r="24" customHeight="1" spans="2:3">
      <c r="B24" t="s">
        <v>21</v>
      </c>
      <c r="C24" s="9">
        <f>SUM(C22:C23)</f>
        <v>0</v>
      </c>
    </row>
  </sheetData>
  <dataValidations count="4">
    <dataValidation allowBlank="1" showInputMessage="1" showErrorMessage="1" prompt="Enter monthly expenses in this worksheet" sqref="A1"/>
    <dataValidation allowBlank="1" showInputMessage="1" showErrorMessage="1" prompt="The title is automatically updated based on the value in the Monthly Income worksheet cell B1" sqref="B1"/>
    <dataValidation allowBlank="1" showInputMessage="1" showErrorMessage="1" prompt="Enter monthly expense items in this column" sqref="B3"/>
    <dataValidation allowBlank="1" showInputMessage="1" showErrorMessage="1" prompt="Enter the expense amounts in this column" sqref="C3"/>
  </dataValidations>
  <printOptions horizontalCentered="1"/>
  <pageMargins left="0.35" right="0.41" top="0.41" bottom="0.35" header="0.3" footer="0.3"/>
  <pageSetup paperSize="1" fitToHeight="0" orientation="portrait" verticalDpi="200"/>
  <headerFooter differentFirst="1">
    <oddFooter>&amp;CPage &amp;P of &amp;N</oddFooter>
  </headerFooter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1" tint="0.499984740745262"/>
  </sheetPr>
  <dimension ref="B1:B4"/>
  <sheetViews>
    <sheetView showGridLines="0" workbookViewId="0">
      <selection activeCell="B2" sqref="B2"/>
    </sheetView>
  </sheetViews>
  <sheetFormatPr defaultColWidth="9" defaultRowHeight="15.75" outlineLevelRow="3" outlineLevelCol="1"/>
  <cols>
    <col min="1" max="1" width="1.77777777777778" customWidth="1"/>
  </cols>
  <sheetData>
    <row r="1" ht="23.25" spans="2:2">
      <c r="B1" s="1" t="s">
        <v>25</v>
      </c>
    </row>
    <row r="2" spans="2:2">
      <c r="B2" s="2" t="e">
        <f>MIN(1-B3,1)</f>
        <v>#REF!</v>
      </c>
    </row>
    <row r="3" spans="2:2">
      <c r="B3" s="2" t="e">
        <f>MIN(Total_Monthly_Expenses/Total_Monthly_Income,1)</f>
        <v>#REF!</v>
      </c>
    </row>
    <row r="4" spans="2:2">
      <c r="B4" t="e">
        <f>(Total_Monthly_Expenses/Total_Monthly_Income)&gt;1</f>
        <v>#REF!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1911D7A-A54D-4A1E-8DCE-8EDE93CAF3E1}">
  <ds:schemaRefs/>
</ds:datastoreItem>
</file>

<file path=customXml/itemProps2.xml><?xml version="1.0" encoding="utf-8"?>
<ds:datastoreItem xmlns:ds="http://schemas.openxmlformats.org/officeDocument/2006/customXml" ds:itemID="{6805C9B7-14C5-464F-8A2F-CE28FA92032C}">
  <ds:schemaRefs/>
</ds:datastoreItem>
</file>

<file path=customXml/itemProps3.xml><?xml version="1.0" encoding="utf-8"?>
<ds:datastoreItem xmlns:ds="http://schemas.openxmlformats.org/officeDocument/2006/customXml" ds:itemID="{5090F800-CE2D-4A45-9F63-53FE1E80F5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14.12.25</vt:lpstr>
      <vt:lpstr>15.12.25 </vt:lpstr>
      <vt:lpstr>16.12.25 </vt:lpstr>
      <vt:lpstr>17.12.25  </vt:lpstr>
      <vt:lpstr>18.12.25  </vt:lpstr>
      <vt:lpstr>19.12.25  </vt:lpstr>
      <vt:lpstr>20.12.25 </vt:lpstr>
      <vt:lpstr>21.12.25 </vt:lpstr>
      <vt:lpstr>22.12.25</vt:lpstr>
      <vt:lpstr>23.12.25</vt:lpstr>
      <vt:lpstr>24.12.25 </vt:lpstr>
      <vt:lpstr>25.12.25 </vt:lpstr>
      <vt:lpstr>26.12.25</vt:lpstr>
      <vt:lpstr>27.12.25 </vt:lpstr>
      <vt:lpstr>28.12.25 </vt:lpstr>
      <vt:lpstr>29.12.25 </vt:lpstr>
      <vt:lpstr>30.12.25  </vt:lpstr>
      <vt:lpstr>31.12.25 </vt:lpstr>
      <vt:lpstr>1.1.26</vt:lpstr>
      <vt:lpstr>2.1.26 </vt:lpstr>
      <vt:lpstr>3.1.26 </vt:lpstr>
      <vt:lpstr>4.1.26 </vt:lpstr>
      <vt:lpstr>5.1.26 </vt:lpstr>
      <vt:lpstr>6.1.26</vt:lpstr>
      <vt:lpstr>7.1.26 </vt:lpstr>
      <vt:lpstr>8.1.26 </vt:lpstr>
      <vt:lpstr>9.1.26 </vt:lpstr>
      <vt:lpstr>10.1.26 </vt:lpstr>
      <vt:lpstr>11.1.26 </vt:lpstr>
      <vt:lpstr>12.1.26 </vt:lpstr>
      <vt:lpstr>13.1.26</vt:lpstr>
      <vt:lpstr>14.1.26</vt:lpstr>
      <vt:lpstr>15.1.26 </vt:lpstr>
      <vt:lpstr>16.1.26</vt:lpstr>
      <vt:lpstr>DEC totals</vt:lpstr>
      <vt:lpstr>Chart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Kimotho</cp:lastModifiedBy>
  <dcterms:created xsi:type="dcterms:W3CDTF">2019-06-18T21:28:00Z</dcterms:created>
  <dcterms:modified xsi:type="dcterms:W3CDTF">2026-01-17T19:37:46Z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ICV">
    <vt:lpwstr>F30F59108FEA43208869BBC87888691D_13</vt:lpwstr>
  </property>
  <property fmtid="{D5CDD505-2E9C-101B-9397-08002B2CF9AE}" pid="4" name="KSOProductBuildVer">
    <vt:lpwstr>1033-12.2.0.23196</vt:lpwstr>
  </property>
</Properties>
</file>